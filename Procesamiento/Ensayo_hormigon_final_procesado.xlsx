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amiento de datos" sheetId="1" r:id="rId4"/>
  </sheets>
  <definedNames/>
  <calcPr/>
  <extLst>
    <ext uri="GoogleSheetsCustomDataVersion2">
      <go:sheetsCustomData xmlns:go="http://customooxmlschemas.google.com/" r:id="rId5" roundtripDataChecksum="S0So7Tkz/g2qJtgblpl7DMoUbtrkmrT47q46B5kptCc="/>
    </ext>
  </extLst>
</workbook>
</file>

<file path=xl/sharedStrings.xml><?xml version="1.0" encoding="utf-8"?>
<sst xmlns="http://schemas.openxmlformats.org/spreadsheetml/2006/main" count="10" uniqueCount="10">
  <si>
    <t>Carga (P) [Kn]</t>
  </si>
  <si>
    <t>Desplazamiento (u) [mm]</t>
  </si>
  <si>
    <t>Esfuerzo (sigma) [Mpa]</t>
  </si>
  <si>
    <t>Esfuerzo maximo</t>
  </si>
  <si>
    <t>fmax</t>
  </si>
  <si>
    <t>Mpa</t>
  </si>
  <si>
    <t>Probeta cilíndrica</t>
  </si>
  <si>
    <t>Medidas [mm]</t>
  </si>
  <si>
    <t>Diámetro</t>
  </si>
  <si>
    <t>Altura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</si>
</sst>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/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2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1" numFmtId="2" xfId="0" applyAlignment="1" applyBorder="1" applyFont="1" applyNumberFormat="1">
      <alignment horizontal="center" vertical="center"/>
    </xf>
    <xf borderId="0" fillId="0" fontId="3" numFmtId="0" xfId="0" applyFont="1"/>
    <xf borderId="7" fillId="0" fontId="1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6" fillId="0" fontId="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Grafico Final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'Procesamiento de datos'!$C$4:$C$22</c:f>
            </c:numRef>
          </c:xVal>
          <c:yVal>
            <c:numRef>
              <c:f>'Procesamiento de datos'!$D$4:$D$22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231376"/>
        <c:axId val="421020137"/>
      </c:scatterChart>
      <c:valAx>
        <c:axId val="11962313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Desplazamiento [mm]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1020137"/>
      </c:valAx>
      <c:valAx>
        <c:axId val="421020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Esfuerzo [MPa]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231376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1</xdr:row>
      <xdr:rowOff>142875</xdr:rowOff>
    </xdr:from>
    <xdr:ext cx="4857750" cy="2800350"/>
    <xdr:graphicFrame>
      <xdr:nvGraphicFramePr>
        <xdr:cNvPr id="144509115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4.63"/>
    <col customWidth="1" min="3" max="3" width="23.63"/>
    <col customWidth="1" min="4" max="4" width="21.38"/>
    <col customWidth="1" min="5" max="26" width="10.63"/>
  </cols>
  <sheetData>
    <row r="3">
      <c r="B3" s="1" t="s">
        <v>0</v>
      </c>
      <c r="C3" s="1" t="s">
        <v>1</v>
      </c>
      <c r="D3" s="2" t="s">
        <v>2</v>
      </c>
      <c r="F3" s="3" t="s">
        <v>3</v>
      </c>
      <c r="G3" s="4"/>
    </row>
    <row r="4">
      <c r="B4" s="5">
        <v>0.0</v>
      </c>
      <c r="C4" s="5">
        <v>0.0</v>
      </c>
      <c r="D4" s="6">
        <f t="shared" ref="D4:D22" si="1">B4*1000/17671.46</f>
        <v>0</v>
      </c>
      <c r="F4" s="7" t="s">
        <v>4</v>
      </c>
      <c r="G4" s="8">
        <f>MAX(D4:D22)</f>
        <v>25.46478899</v>
      </c>
      <c r="H4" s="9" t="s">
        <v>5</v>
      </c>
    </row>
    <row r="5">
      <c r="B5" s="10">
        <v>25.0</v>
      </c>
      <c r="C5" s="10">
        <v>0.042</v>
      </c>
      <c r="D5" s="11">
        <f t="shared" si="1"/>
        <v>1.414710499</v>
      </c>
    </row>
    <row r="6">
      <c r="B6" s="10">
        <v>50.0</v>
      </c>
      <c r="C6" s="10">
        <v>0.085</v>
      </c>
      <c r="D6" s="11">
        <f t="shared" si="1"/>
        <v>2.829420999</v>
      </c>
    </row>
    <row r="7">
      <c r="B7" s="10">
        <v>75.0</v>
      </c>
      <c r="C7" s="10">
        <v>0.129</v>
      </c>
      <c r="D7" s="11">
        <f t="shared" si="1"/>
        <v>4.244131498</v>
      </c>
      <c r="F7" s="3" t="s">
        <v>6</v>
      </c>
      <c r="G7" s="4"/>
    </row>
    <row r="8">
      <c r="B8" s="10">
        <v>100.0</v>
      </c>
      <c r="C8" s="10">
        <v>0.174</v>
      </c>
      <c r="D8" s="11">
        <f t="shared" si="1"/>
        <v>5.658841997</v>
      </c>
      <c r="F8" s="3" t="s">
        <v>7</v>
      </c>
      <c r="G8" s="4"/>
    </row>
    <row r="9">
      <c r="B9" s="10">
        <v>125.0</v>
      </c>
      <c r="C9" s="10">
        <v>0.22</v>
      </c>
      <c r="D9" s="11">
        <f t="shared" si="1"/>
        <v>7.073552497</v>
      </c>
      <c r="F9" s="7" t="s">
        <v>8</v>
      </c>
      <c r="G9" s="7">
        <v>150.0</v>
      </c>
    </row>
    <row r="10">
      <c r="B10" s="10">
        <v>150.0</v>
      </c>
      <c r="C10" s="10">
        <v>0.268</v>
      </c>
      <c r="D10" s="11">
        <f t="shared" si="1"/>
        <v>8.488262996</v>
      </c>
      <c r="F10" s="7" t="s">
        <v>9</v>
      </c>
      <c r="G10" s="12">
        <v>300.0</v>
      </c>
    </row>
    <row r="11">
      <c r="B11" s="10">
        <v>175.0</v>
      </c>
      <c r="C11" s="10">
        <v>0.316</v>
      </c>
      <c r="D11" s="11">
        <f t="shared" si="1"/>
        <v>9.902973495</v>
      </c>
    </row>
    <row r="12">
      <c r="B12" s="10">
        <v>200.0</v>
      </c>
      <c r="C12" s="10">
        <v>0.366</v>
      </c>
      <c r="D12" s="11">
        <f t="shared" si="1"/>
        <v>11.31768399</v>
      </c>
    </row>
    <row r="13">
      <c r="B13" s="10">
        <v>225.0</v>
      </c>
      <c r="C13" s="10">
        <v>0.417</v>
      </c>
      <c r="D13" s="11">
        <f t="shared" si="1"/>
        <v>12.73239449</v>
      </c>
    </row>
    <row r="14">
      <c r="B14" s="10">
        <v>250.0</v>
      </c>
      <c r="C14" s="10">
        <v>0.469</v>
      </c>
      <c r="D14" s="11">
        <f t="shared" si="1"/>
        <v>14.14710499</v>
      </c>
    </row>
    <row r="15">
      <c r="B15" s="10">
        <v>275.0</v>
      </c>
      <c r="C15" s="10">
        <v>0.522</v>
      </c>
      <c r="D15" s="11">
        <f t="shared" si="1"/>
        <v>15.56181549</v>
      </c>
    </row>
    <row r="16">
      <c r="B16" s="10">
        <v>300.0</v>
      </c>
      <c r="C16" s="10">
        <v>0.576</v>
      </c>
      <c r="D16" s="11">
        <f t="shared" si="1"/>
        <v>16.97652599</v>
      </c>
    </row>
    <row r="17">
      <c r="B17" s="10">
        <v>325.0</v>
      </c>
      <c r="C17" s="10">
        <v>0.631</v>
      </c>
      <c r="D17" s="11">
        <f t="shared" si="1"/>
        <v>18.39123649</v>
      </c>
    </row>
    <row r="18">
      <c r="B18" s="10">
        <v>350.0</v>
      </c>
      <c r="C18" s="10">
        <v>0.688</v>
      </c>
      <c r="D18" s="11">
        <f t="shared" si="1"/>
        <v>19.80594699</v>
      </c>
    </row>
    <row r="19">
      <c r="B19" s="10">
        <v>375.0</v>
      </c>
      <c r="C19" s="10">
        <v>0.745</v>
      </c>
      <c r="D19" s="11">
        <f t="shared" si="1"/>
        <v>21.22065749</v>
      </c>
    </row>
    <row r="20">
      <c r="B20" s="10">
        <v>400.0</v>
      </c>
      <c r="C20" s="10">
        <v>0.804</v>
      </c>
      <c r="D20" s="11">
        <f t="shared" si="1"/>
        <v>22.63536799</v>
      </c>
    </row>
    <row r="21" ht="15.75" customHeight="1">
      <c r="B21" s="10">
        <v>425.0</v>
      </c>
      <c r="C21" s="10">
        <v>0.864</v>
      </c>
      <c r="D21" s="11">
        <f t="shared" si="1"/>
        <v>24.05007849</v>
      </c>
    </row>
    <row r="22" ht="15.75" customHeight="1">
      <c r="B22" s="13">
        <v>450.0</v>
      </c>
      <c r="C22" s="13">
        <v>0.925</v>
      </c>
      <c r="D22" s="14">
        <f t="shared" si="1"/>
        <v>25.46478899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3:G3"/>
    <mergeCell ref="F7:G7"/>
    <mergeCell ref="F8:G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2026-09-24T02:50:54Z</dcterms:created>
  <dc:creator>Lucas Tejo Garrido</dc:creator>
</cp:coreProperties>
</file>